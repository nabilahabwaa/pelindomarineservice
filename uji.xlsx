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2e9d2e003251ce/Documents/"/>
    </mc:Choice>
  </mc:AlternateContent>
  <xr:revisionPtr revIDLastSave="4" documentId="8_{57F7C9CF-8645-44AD-91D4-94CD5231D4A6}" xr6:coauthVersionLast="47" xr6:coauthVersionMax="47" xr10:uidLastSave="{D9BBBBB9-5A06-4CF1-8C18-B84E929967B6}"/>
  <bookViews>
    <workbookView xWindow="-120" yWindow="-120" windowWidth="20730" windowHeight="11040" xr2:uid="{19988301-F906-4DD4-9991-50BF77D98375}"/>
  </bookViews>
  <sheets>
    <sheet name="rekap" sheetId="1" r:id="rId1"/>
    <sheet name="bulana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2" i="2" l="1"/>
  <c r="D92" i="2"/>
  <c r="C92" i="2"/>
  <c r="E79" i="2"/>
  <c r="D79" i="2"/>
  <c r="C79" i="2"/>
  <c r="E66" i="2"/>
  <c r="D66" i="2"/>
  <c r="C66" i="2"/>
  <c r="E53" i="2"/>
  <c r="D53" i="2"/>
  <c r="C53" i="2"/>
  <c r="E40" i="2"/>
  <c r="D40" i="2"/>
  <c r="C40" i="2"/>
  <c r="E27" i="2"/>
  <c r="D27" i="2"/>
  <c r="C27" i="2"/>
  <c r="E14" i="2"/>
  <c r="D14" i="2"/>
  <c r="C14" i="2"/>
</calcChain>
</file>

<file path=xl/sharedStrings.xml><?xml version="1.0" encoding="utf-8"?>
<sst xmlns="http://schemas.openxmlformats.org/spreadsheetml/2006/main" count="100" uniqueCount="21">
  <si>
    <t>tahun</t>
  </si>
  <si>
    <t>bulan</t>
  </si>
  <si>
    <t>arus_kas_operasi</t>
  </si>
  <si>
    <t>pendapatan_operasi</t>
  </si>
  <si>
    <t>beban_operasi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</si>
  <si>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</si>
  <si>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</si>
  <si>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</si>
  <si>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</si>
  <si>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</si>
  <si>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</si>
  <si>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</si>
  <si>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</si>
  <si>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</si>
  <si>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</si>
  <si>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</si>
  <si>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</si>
  <si>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Total</t>
  </si>
  <si>
    <t>arus kas operasi (juta rupiah)</t>
  </si>
  <si>
    <t>pendapatan operasi (juta rupiah)</t>
  </si>
  <si>
    <t>beban operasi (juta rupiah)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</si>
</sst>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3" fontId="3" fillId="0" borderId="0" xfId="0" applyNumberFormat="1" applyFont="1"/>
    <xf numFmtId="3" fontId="2" fillId="0" borderId="0" xfId="0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1" applyNumberFormat="1" applyFont="1"/>
    <xf numFmtId="164" fontId="0" fillId="0" borderId="1" xfId="1" applyNumberFormat="1" applyFont="1" applyBorder="1" applyAlignment="1">
      <alignment horizontal="center"/>
    </xf>
    <xf numFmtId="164" fontId="0" fillId="2" borderId="0" xfId="1" applyNumberFormat="1" applyFon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F109-7314-4E33-BE37-A144F2E2B13E}">
  <dimension ref="A1:D11"/>
  <sheetViews>
    <sheetView tabSelected="1" workbookViewId="0">
      <selection activeCell="F10" sqref="F10"/>
    </sheetView>
  </sheetViews>
  <sheetFormatPr defaultRowHeight="15.75" x14ac:dyDescent="0.25"/>
  <cols>
    <col min="1" max="1" width="9.140625" style="3"/>
    <col min="2" max="2" width="26.5703125" style="3" bestFit="1" customWidth="1"/>
    <col min="3" max="3" width="29.42578125" style="3" bestFit="1" customWidth="1"/>
    <col min="4" max="4" width="24.5703125" style="3" bestFit="1" customWidth="1"/>
    <col min="5" max="16384" width="9.140625" style="3"/>
  </cols>
  <sheetData>
    <row r="1" spans="1:4" x14ac:dyDescent="0.25">
      <c r="A1" s="1" t="s">
        <v>0</v>
      </c>
      <c r="B1" s="1" t="s">
        <v>18</v>
      </c>
      <c r="C1" s="1" t="s">
        <v>19</v>
      </c>
      <c r="D1" s="2" t="s">
        <v>20</v>
      </c>
    </row>
    <row r="2" spans="1:4" x14ac:dyDescent="0.25">
      <c r="A2" s="1">
        <v>2018</v>
      </c>
      <c r="B2" s="4">
        <v>374747</v>
      </c>
      <c r="C2" s="4">
        <v>1689490</v>
      </c>
      <c r="D2" s="5">
        <v>-1433944</v>
      </c>
    </row>
    <row r="3" spans="1:4" x14ac:dyDescent="0.25">
      <c r="A3" s="1">
        <v>2019</v>
      </c>
      <c r="B3" s="4">
        <v>116797</v>
      </c>
      <c r="C3" s="4">
        <v>1530678</v>
      </c>
      <c r="D3" s="5">
        <v>-1183121</v>
      </c>
    </row>
    <row r="4" spans="1:4" x14ac:dyDescent="0.25">
      <c r="A4" s="1">
        <v>2020</v>
      </c>
      <c r="B4" s="4">
        <v>392780</v>
      </c>
      <c r="C4" s="4">
        <v>1515124</v>
      </c>
      <c r="D4" s="5">
        <v>-1181508</v>
      </c>
    </row>
    <row r="5" spans="1:4" x14ac:dyDescent="0.25">
      <c r="A5" s="1">
        <v>2021</v>
      </c>
      <c r="B5" s="4">
        <v>463381</v>
      </c>
      <c r="C5" s="4">
        <v>1500252</v>
      </c>
      <c r="D5" s="5">
        <v>-1227380</v>
      </c>
    </row>
    <row r="6" spans="1:4" x14ac:dyDescent="0.25">
      <c r="A6" s="1">
        <v>2022</v>
      </c>
      <c r="B6" s="4">
        <v>416470</v>
      </c>
      <c r="C6" s="4">
        <v>2823801</v>
      </c>
      <c r="D6" s="5">
        <v>-2352410</v>
      </c>
    </row>
    <row r="7" spans="1:4" x14ac:dyDescent="0.25">
      <c r="A7" s="1">
        <v>2023</v>
      </c>
      <c r="B7" s="4">
        <v>13429</v>
      </c>
      <c r="C7" s="4">
        <v>3152059</v>
      </c>
      <c r="D7" s="5">
        <v>-2590119</v>
      </c>
    </row>
    <row r="8" spans="1:4" x14ac:dyDescent="0.25">
      <c r="A8" s="1">
        <v>2024</v>
      </c>
      <c r="B8" s="4">
        <v>572200</v>
      </c>
      <c r="C8" s="4">
        <v>2549732</v>
      </c>
      <c r="D8" s="5">
        <v>-2096257</v>
      </c>
    </row>
    <row r="9" spans="1:4" x14ac:dyDescent="0.25">
      <c r="A9" s="1"/>
    </row>
    <row r="10" spans="1:4" x14ac:dyDescent="0.25">
      <c r="A10" s="1"/>
    </row>
    <row r="11" spans="1:4" x14ac:dyDescent="0.25">
      <c r="A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C7DF8-9B68-4A57-B9F0-D8DEEBCC7755}">
  <dimension ref="A1:E92"/>
  <sheetViews>
    <sheetView workbookViewId="0">
      <selection activeCell="A14" sqref="A14:B14"/>
    </sheetView>
  </sheetViews>
  <sheetFormatPr defaultRowHeight="15" x14ac:dyDescent="0.25"/>
  <cols>
    <col min="1" max="1" width="9.140625" style="8"/>
    <col min="3" max="3" width="17.85546875" style="9" customWidth="1"/>
    <col min="4" max="4" width="20.85546875" style="9" customWidth="1"/>
    <col min="5" max="5" width="14.28515625" style="9" bestFit="1" customWidth="1"/>
  </cols>
  <sheetData>
    <row r="1" spans="1:5" x14ac:dyDescent="0.25">
      <c r="A1" s="6" t="s">
        <v>0</v>
      </c>
      <c r="B1" s="7" t="s">
        <v>1</v>
      </c>
      <c r="C1" s="10" t="s">
        <v>2</v>
      </c>
      <c r="D1" s="10" t="s">
        <v>3</v>
      </c>
      <c r="E1" s="10" t="s">
        <v>4</v>
      </c>
    </row>
    <row r="2" spans="1:5" x14ac:dyDescent="0.25">
      <c r="A2" s="13">
        <v>2018</v>
      </c>
      <c r="B2" t="s">
        <v>5</v>
      </c>
      <c r="C2" s="9">
        <v>28463.71</v>
      </c>
      <c r="D2" s="9">
        <v>132890.38</v>
      </c>
      <c r="E2" s="9">
        <v>-112754.09</v>
      </c>
    </row>
    <row r="3" spans="1:5" x14ac:dyDescent="0.25">
      <c r="A3" s="13"/>
      <c r="B3" t="s">
        <v>6</v>
      </c>
      <c r="C3" s="9">
        <v>25514.62</v>
      </c>
      <c r="D3" s="9">
        <v>110082.46</v>
      </c>
      <c r="E3" s="9">
        <v>-97642.86</v>
      </c>
    </row>
    <row r="4" spans="1:5" x14ac:dyDescent="0.25">
      <c r="A4" s="13"/>
      <c r="B4" t="s">
        <v>7</v>
      </c>
      <c r="C4" s="9">
        <v>28691.439999999999</v>
      </c>
      <c r="D4" s="9">
        <v>129409.92</v>
      </c>
      <c r="E4" s="9">
        <v>-109800.03</v>
      </c>
    </row>
    <row r="5" spans="1:5" x14ac:dyDescent="0.25">
      <c r="A5" s="13"/>
      <c r="B5" t="s">
        <v>8</v>
      </c>
      <c r="C5" s="9">
        <v>31490.55</v>
      </c>
      <c r="D5" s="9">
        <v>142033.76999999999</v>
      </c>
      <c r="E5" s="9">
        <v>-120511.28</v>
      </c>
    </row>
    <row r="6" spans="1:5" x14ac:dyDescent="0.25">
      <c r="A6" s="13"/>
      <c r="B6" t="s">
        <v>9</v>
      </c>
      <c r="C6" s="9">
        <v>35083.919999999998</v>
      </c>
      <c r="D6" s="9">
        <v>158243.62</v>
      </c>
      <c r="E6" s="9">
        <v>-131258.71</v>
      </c>
    </row>
    <row r="7" spans="1:5" x14ac:dyDescent="0.25">
      <c r="A7" s="13"/>
      <c r="B7" t="s">
        <v>10</v>
      </c>
      <c r="C7" s="9">
        <v>29655.73</v>
      </c>
      <c r="D7" s="9">
        <v>133756.32999999999</v>
      </c>
      <c r="E7" s="9">
        <v>-113489.68</v>
      </c>
    </row>
    <row r="8" spans="1:5" x14ac:dyDescent="0.25">
      <c r="A8" s="13"/>
      <c r="B8" t="s">
        <v>11</v>
      </c>
      <c r="C8" s="9">
        <v>33012.68</v>
      </c>
      <c r="D8" s="9">
        <v>148889.92000000001</v>
      </c>
      <c r="E8" s="9">
        <v>-126331.57</v>
      </c>
    </row>
    <row r="9" spans="1:5" x14ac:dyDescent="0.25">
      <c r="A9" s="13"/>
      <c r="B9" t="s">
        <v>12</v>
      </c>
      <c r="C9" s="9">
        <v>34370.94</v>
      </c>
      <c r="D9" s="9">
        <v>155012.54</v>
      </c>
      <c r="E9" s="9">
        <v>-131526.47</v>
      </c>
    </row>
    <row r="10" spans="1:5" x14ac:dyDescent="0.25">
      <c r="A10" s="13"/>
      <c r="B10" t="s">
        <v>13</v>
      </c>
      <c r="C10" s="9">
        <v>29114.87</v>
      </c>
      <c r="D10" s="9">
        <v>131316.87</v>
      </c>
      <c r="E10" s="9">
        <v>-111421.66</v>
      </c>
    </row>
    <row r="11" spans="1:5" x14ac:dyDescent="0.25">
      <c r="A11" s="13"/>
      <c r="B11" t="s">
        <v>14</v>
      </c>
      <c r="C11" s="9">
        <v>33296.76</v>
      </c>
      <c r="D11" s="9">
        <v>150171.48000000001</v>
      </c>
      <c r="E11" s="9">
        <v>-127418.54</v>
      </c>
    </row>
    <row r="12" spans="1:5" x14ac:dyDescent="0.25">
      <c r="A12" s="13"/>
      <c r="B12" t="s">
        <v>15</v>
      </c>
      <c r="C12" s="9">
        <v>30518.36</v>
      </c>
      <c r="D12" s="9">
        <v>137642.81</v>
      </c>
      <c r="E12" s="9">
        <v>-116784.62</v>
      </c>
    </row>
    <row r="13" spans="1:5" x14ac:dyDescent="0.25">
      <c r="A13" s="13"/>
      <c r="B13" t="s">
        <v>16</v>
      </c>
      <c r="C13" s="9">
        <v>35533.33</v>
      </c>
      <c r="D13" s="9">
        <v>160040.26</v>
      </c>
      <c r="E13" s="9">
        <v>-135004.32999999999</v>
      </c>
    </row>
    <row r="14" spans="1:5" x14ac:dyDescent="0.25">
      <c r="A14" s="12" t="s">
        <v>17</v>
      </c>
      <c r="B14" s="12"/>
      <c r="C14" s="11">
        <f>SUM(C2:C13)</f>
        <v>374746.91000000003</v>
      </c>
      <c r="D14" s="11">
        <f t="shared" ref="D14:E14" si="0">SUM(D2:D13)</f>
        <v>1689490.36</v>
      </c>
      <c r="E14" s="11">
        <f t="shared" si="0"/>
        <v>-1433943.8399999999</v>
      </c>
    </row>
    <row r="15" spans="1:5" x14ac:dyDescent="0.25">
      <c r="A15" s="13">
        <v>2019</v>
      </c>
      <c r="B15" t="s">
        <v>5</v>
      </c>
      <c r="C15" s="9">
        <v>8335.86</v>
      </c>
      <c r="D15" s="9">
        <v>107280.48</v>
      </c>
      <c r="E15" s="9">
        <v>-80463.399999999994</v>
      </c>
    </row>
    <row r="16" spans="1:5" x14ac:dyDescent="0.25">
      <c r="A16" s="13"/>
      <c r="B16" t="s">
        <v>6</v>
      </c>
      <c r="C16" s="9">
        <v>8756.27</v>
      </c>
      <c r="D16" s="9">
        <v>101263.45</v>
      </c>
      <c r="E16" s="9">
        <v>-94987.66</v>
      </c>
    </row>
    <row r="17" spans="1:5" x14ac:dyDescent="0.25">
      <c r="A17" s="13"/>
      <c r="B17" t="s">
        <v>7</v>
      </c>
      <c r="C17" s="9">
        <v>9615.0499999999993</v>
      </c>
      <c r="D17" s="9">
        <v>134152.04</v>
      </c>
      <c r="E17" s="9">
        <v>-99550.52</v>
      </c>
    </row>
    <row r="18" spans="1:5" x14ac:dyDescent="0.25">
      <c r="A18" s="13"/>
      <c r="B18" t="s">
        <v>8</v>
      </c>
      <c r="C18" s="9">
        <v>10758.58</v>
      </c>
      <c r="D18" s="9">
        <v>139030.79999999999</v>
      </c>
      <c r="E18" s="9">
        <v>-100010.89</v>
      </c>
    </row>
    <row r="19" spans="1:5" x14ac:dyDescent="0.25">
      <c r="A19" s="13"/>
      <c r="B19" t="s">
        <v>9</v>
      </c>
      <c r="C19" s="9">
        <v>10760.73</v>
      </c>
      <c r="D19" s="9">
        <v>138059.01999999999</v>
      </c>
      <c r="E19" s="9">
        <v>-101032.68</v>
      </c>
    </row>
    <row r="20" spans="1:5" x14ac:dyDescent="0.25">
      <c r="A20" s="13"/>
      <c r="B20" t="s">
        <v>10</v>
      </c>
      <c r="C20" s="9">
        <v>9037.34</v>
      </c>
      <c r="D20" s="9">
        <v>125575.3</v>
      </c>
      <c r="E20" s="9">
        <v>-99646.58</v>
      </c>
    </row>
    <row r="21" spans="1:5" x14ac:dyDescent="0.25">
      <c r="A21" s="13"/>
      <c r="B21" t="s">
        <v>11</v>
      </c>
      <c r="C21" s="9">
        <v>8477.68</v>
      </c>
      <c r="D21" s="9">
        <v>135347.10999999999</v>
      </c>
      <c r="E21" s="9">
        <v>-101158.7</v>
      </c>
    </row>
    <row r="22" spans="1:5" x14ac:dyDescent="0.25">
      <c r="A22" s="13"/>
      <c r="B22" t="s">
        <v>12</v>
      </c>
      <c r="C22" s="9">
        <v>8455.65</v>
      </c>
      <c r="D22" s="9">
        <v>134058.29</v>
      </c>
      <c r="E22" s="9">
        <v>-105935.53</v>
      </c>
    </row>
    <row r="23" spans="1:5" x14ac:dyDescent="0.25">
      <c r="A23" s="13"/>
      <c r="B23" t="s">
        <v>13</v>
      </c>
      <c r="C23" s="9">
        <v>9047.61</v>
      </c>
      <c r="D23" s="9">
        <v>108610.54</v>
      </c>
      <c r="E23" s="9">
        <v>-91663.27</v>
      </c>
    </row>
    <row r="24" spans="1:5" x14ac:dyDescent="0.25">
      <c r="A24" s="13"/>
      <c r="B24" t="s">
        <v>14</v>
      </c>
      <c r="C24" s="9">
        <v>10877.15</v>
      </c>
      <c r="D24" s="9">
        <v>136582.79999999999</v>
      </c>
      <c r="E24" s="9">
        <v>-100212.73</v>
      </c>
    </row>
    <row r="25" spans="1:5" x14ac:dyDescent="0.25">
      <c r="A25" s="13"/>
      <c r="B25" t="s">
        <v>15</v>
      </c>
      <c r="C25" s="9">
        <v>11248.51</v>
      </c>
      <c r="D25" s="9">
        <v>134032.85999999999</v>
      </c>
      <c r="E25" s="9">
        <v>-102819.09</v>
      </c>
    </row>
    <row r="26" spans="1:5" x14ac:dyDescent="0.25">
      <c r="A26" s="13"/>
      <c r="B26" t="s">
        <v>16</v>
      </c>
      <c r="C26" s="9">
        <v>11426.8</v>
      </c>
      <c r="D26" s="9">
        <v>136685.18</v>
      </c>
      <c r="E26" s="9">
        <v>-105640.18</v>
      </c>
    </row>
    <row r="27" spans="1:5" x14ac:dyDescent="0.25">
      <c r="A27" s="12" t="s">
        <v>17</v>
      </c>
      <c r="B27" s="12"/>
      <c r="C27" s="11">
        <f>SUM(C15:C26)</f>
        <v>116797.23</v>
      </c>
      <c r="D27" s="11">
        <f t="shared" ref="D27:E27" si="1">SUM(D15:D26)</f>
        <v>1530677.8699999999</v>
      </c>
      <c r="E27" s="11">
        <f t="shared" si="1"/>
        <v>-1183121.23</v>
      </c>
    </row>
    <row r="28" spans="1:5" x14ac:dyDescent="0.25">
      <c r="A28" s="13">
        <v>2020</v>
      </c>
      <c r="B28" t="s">
        <v>5</v>
      </c>
      <c r="C28" s="9">
        <v>30653.71</v>
      </c>
      <c r="D28" s="9">
        <v>125247.48</v>
      </c>
      <c r="E28" s="9">
        <v>-92178.45</v>
      </c>
    </row>
    <row r="29" spans="1:5" x14ac:dyDescent="0.25">
      <c r="A29" s="13"/>
      <c r="B29" t="s">
        <v>6</v>
      </c>
      <c r="C29" s="9">
        <v>29766.76</v>
      </c>
      <c r="D29" s="9">
        <v>119223.38</v>
      </c>
      <c r="E29" s="9">
        <v>-87486.05</v>
      </c>
    </row>
    <row r="30" spans="1:5" x14ac:dyDescent="0.25">
      <c r="A30" s="13"/>
      <c r="B30" t="s">
        <v>7</v>
      </c>
      <c r="C30" s="9">
        <v>25073.74</v>
      </c>
      <c r="D30" s="9">
        <v>111437.36</v>
      </c>
      <c r="E30" s="9">
        <v>-81415.58</v>
      </c>
    </row>
    <row r="31" spans="1:5" x14ac:dyDescent="0.25">
      <c r="A31" s="13"/>
      <c r="B31" t="s">
        <v>8</v>
      </c>
      <c r="C31" s="9">
        <v>23118.61</v>
      </c>
      <c r="D31" s="9">
        <v>92345.73</v>
      </c>
      <c r="E31" s="9">
        <v>-69234.12</v>
      </c>
    </row>
    <row r="32" spans="1:5" x14ac:dyDescent="0.25">
      <c r="A32" s="13"/>
      <c r="B32" t="s">
        <v>9</v>
      </c>
      <c r="C32" s="9">
        <v>24796.93</v>
      </c>
      <c r="D32" s="9">
        <v>98097.13</v>
      </c>
      <c r="E32" s="9">
        <v>-74448.25</v>
      </c>
    </row>
    <row r="33" spans="1:5" x14ac:dyDescent="0.25">
      <c r="A33" s="13"/>
      <c r="B33" t="s">
        <v>10</v>
      </c>
      <c r="C33" s="9">
        <v>30111.759999999998</v>
      </c>
      <c r="D33" s="9">
        <v>121098.62</v>
      </c>
      <c r="E33" s="9">
        <v>-90504.51</v>
      </c>
    </row>
    <row r="34" spans="1:5" x14ac:dyDescent="0.25">
      <c r="A34" s="13"/>
      <c r="B34" t="s">
        <v>11</v>
      </c>
      <c r="C34" s="9">
        <v>34355.54</v>
      </c>
      <c r="D34" s="9">
        <v>135661.4</v>
      </c>
      <c r="E34" s="9">
        <v>-110245.87</v>
      </c>
    </row>
    <row r="35" spans="1:5" x14ac:dyDescent="0.25">
      <c r="A35" s="13"/>
      <c r="B35" t="s">
        <v>12</v>
      </c>
      <c r="C35" s="9">
        <v>38502.559999999998</v>
      </c>
      <c r="D35" s="9">
        <v>148699.38</v>
      </c>
      <c r="E35" s="9">
        <v>-119706.45</v>
      </c>
    </row>
    <row r="36" spans="1:5" x14ac:dyDescent="0.25">
      <c r="A36" s="13"/>
      <c r="B36" t="s">
        <v>13</v>
      </c>
      <c r="C36" s="9">
        <v>39028.11</v>
      </c>
      <c r="D36" s="9">
        <v>141323.35999999999</v>
      </c>
      <c r="E36" s="9">
        <v>-114661.73</v>
      </c>
    </row>
    <row r="37" spans="1:5" x14ac:dyDescent="0.25">
      <c r="A37" s="13"/>
      <c r="B37" t="s">
        <v>14</v>
      </c>
      <c r="C37" s="9">
        <v>39688.959999999999</v>
      </c>
      <c r="D37" s="9">
        <v>145669.44</v>
      </c>
      <c r="E37" s="9">
        <v>-120268.77</v>
      </c>
    </row>
    <row r="38" spans="1:5" x14ac:dyDescent="0.25">
      <c r="A38" s="13"/>
      <c r="B38" t="s">
        <v>15</v>
      </c>
      <c r="C38" s="9">
        <v>37577.550000000003</v>
      </c>
      <c r="D38" s="9">
        <v>135772.29999999999</v>
      </c>
      <c r="E38" s="9">
        <v>-98872.05</v>
      </c>
    </row>
    <row r="39" spans="1:5" x14ac:dyDescent="0.25">
      <c r="A39" s="13"/>
      <c r="B39" t="s">
        <v>16</v>
      </c>
      <c r="C39" s="9">
        <v>40105.879999999997</v>
      </c>
      <c r="D39" s="9">
        <v>140548.81</v>
      </c>
      <c r="E39" s="9">
        <v>-122486.52</v>
      </c>
    </row>
    <row r="40" spans="1:5" x14ac:dyDescent="0.25">
      <c r="A40" s="12" t="s">
        <v>17</v>
      </c>
      <c r="B40" s="12"/>
      <c r="C40" s="11">
        <f>SUM(C28:C39)</f>
        <v>392780.11000000004</v>
      </c>
      <c r="D40" s="11">
        <f t="shared" ref="D40:E40" si="2">SUM(D28:D39)</f>
        <v>1515124.39</v>
      </c>
      <c r="E40" s="11">
        <f t="shared" si="2"/>
        <v>-1181508.3500000001</v>
      </c>
    </row>
    <row r="41" spans="1:5" x14ac:dyDescent="0.25">
      <c r="A41" s="13">
        <v>2021</v>
      </c>
      <c r="B41" t="s">
        <v>5</v>
      </c>
      <c r="C41" s="9">
        <v>30970.17</v>
      </c>
      <c r="D41" s="9">
        <v>106972.24</v>
      </c>
      <c r="E41" s="9">
        <v>-95063.28</v>
      </c>
    </row>
    <row r="42" spans="1:5" x14ac:dyDescent="0.25">
      <c r="A42" s="13"/>
      <c r="B42" t="s">
        <v>6</v>
      </c>
      <c r="C42" s="9">
        <v>33514.79</v>
      </c>
      <c r="D42" s="9">
        <v>111800.74</v>
      </c>
      <c r="E42" s="9">
        <v>-94160.13</v>
      </c>
    </row>
    <row r="43" spans="1:5" x14ac:dyDescent="0.25">
      <c r="A43" s="13"/>
      <c r="B43" t="s">
        <v>7</v>
      </c>
      <c r="C43" s="9">
        <v>35763.919999999998</v>
      </c>
      <c r="D43" s="9">
        <v>119224.71</v>
      </c>
      <c r="E43" s="9">
        <v>-97182.98</v>
      </c>
    </row>
    <row r="44" spans="1:5" x14ac:dyDescent="0.25">
      <c r="A44" s="13"/>
      <c r="B44" t="s">
        <v>8</v>
      </c>
      <c r="C44" s="9">
        <v>38708.54</v>
      </c>
      <c r="D44" s="9">
        <v>128787.49</v>
      </c>
      <c r="E44" s="9">
        <v>-94931.44</v>
      </c>
    </row>
    <row r="45" spans="1:5" x14ac:dyDescent="0.25">
      <c r="A45" s="13"/>
      <c r="B45" t="s">
        <v>9</v>
      </c>
      <c r="C45" s="9">
        <v>39054.199999999997</v>
      </c>
      <c r="D45" s="9">
        <v>126670.34</v>
      </c>
      <c r="E45" s="9">
        <v>-96491.88</v>
      </c>
    </row>
    <row r="46" spans="1:5" x14ac:dyDescent="0.25">
      <c r="A46" s="13"/>
      <c r="B46" t="s">
        <v>10</v>
      </c>
      <c r="C46" s="9">
        <v>37194.019999999997</v>
      </c>
      <c r="D46" s="9">
        <v>117456.31</v>
      </c>
      <c r="E46" s="9">
        <v>-98605.07</v>
      </c>
    </row>
    <row r="47" spans="1:5" x14ac:dyDescent="0.25">
      <c r="A47" s="13"/>
      <c r="B47" t="s">
        <v>11</v>
      </c>
      <c r="C47" s="9">
        <v>41670.36</v>
      </c>
      <c r="D47" s="9">
        <v>131802.92000000001</v>
      </c>
      <c r="E47" s="9">
        <v>-103474.14</v>
      </c>
    </row>
    <row r="48" spans="1:5" x14ac:dyDescent="0.25">
      <c r="A48" s="13"/>
      <c r="B48" t="s">
        <v>12</v>
      </c>
      <c r="C48" s="9">
        <v>43136.02</v>
      </c>
      <c r="D48" s="9">
        <v>136650.64000000001</v>
      </c>
      <c r="E48" s="9">
        <v>-114360.88</v>
      </c>
    </row>
    <row r="49" spans="1:5" x14ac:dyDescent="0.25">
      <c r="A49" s="13"/>
      <c r="B49" t="s">
        <v>13</v>
      </c>
      <c r="C49" s="9">
        <v>39218.910000000003</v>
      </c>
      <c r="D49" s="9">
        <v>123965.77</v>
      </c>
      <c r="E49" s="9">
        <v>-103973.53</v>
      </c>
    </row>
    <row r="50" spans="1:5" x14ac:dyDescent="0.25">
      <c r="A50" s="13"/>
      <c r="B50" t="s">
        <v>14</v>
      </c>
      <c r="C50" s="9">
        <v>42044.58</v>
      </c>
      <c r="D50" s="9">
        <v>133113.57999999999</v>
      </c>
      <c r="E50" s="9">
        <v>-111464.93</v>
      </c>
    </row>
    <row r="51" spans="1:5" x14ac:dyDescent="0.25">
      <c r="A51" s="13"/>
      <c r="B51" t="s">
        <v>15</v>
      </c>
      <c r="C51" s="9">
        <v>39931.21</v>
      </c>
      <c r="D51" s="9">
        <v>129273.4</v>
      </c>
      <c r="E51" s="9">
        <v>-105861.83</v>
      </c>
    </row>
    <row r="52" spans="1:5" x14ac:dyDescent="0.25">
      <c r="A52" s="13"/>
      <c r="B52" t="s">
        <v>16</v>
      </c>
      <c r="C52" s="9">
        <v>42174.27</v>
      </c>
      <c r="D52" s="9">
        <v>134533.51999999999</v>
      </c>
      <c r="E52" s="9">
        <v>-111809.92</v>
      </c>
    </row>
    <row r="53" spans="1:5" x14ac:dyDescent="0.25">
      <c r="A53" s="12" t="s">
        <v>17</v>
      </c>
      <c r="B53" s="12"/>
      <c r="C53" s="11">
        <f>SUM(C41:C52)</f>
        <v>463380.99000000011</v>
      </c>
      <c r="D53" s="11">
        <f t="shared" ref="D53:E53" si="3">SUM(D41:D52)</f>
        <v>1500251.6600000001</v>
      </c>
      <c r="E53" s="11">
        <f t="shared" si="3"/>
        <v>-1227380.01</v>
      </c>
    </row>
    <row r="54" spans="1:5" x14ac:dyDescent="0.25">
      <c r="A54" s="13">
        <v>2022</v>
      </c>
      <c r="B54" t="s">
        <v>5</v>
      </c>
      <c r="C54" s="9">
        <v>29951.47</v>
      </c>
      <c r="D54" s="9">
        <v>200887.4</v>
      </c>
      <c r="E54" s="9">
        <v>-164739.71</v>
      </c>
    </row>
    <row r="55" spans="1:5" x14ac:dyDescent="0.25">
      <c r="A55" s="13"/>
      <c r="B55" t="s">
        <v>6</v>
      </c>
      <c r="C55" s="9">
        <v>27544.87</v>
      </c>
      <c r="D55" s="9">
        <v>211675.56</v>
      </c>
      <c r="E55" s="9">
        <v>-173735.62</v>
      </c>
    </row>
    <row r="56" spans="1:5" x14ac:dyDescent="0.25">
      <c r="A56" s="13"/>
      <c r="B56" t="s">
        <v>7</v>
      </c>
      <c r="C56" s="9">
        <v>32027.62</v>
      </c>
      <c r="D56" s="9">
        <v>221706.44</v>
      </c>
      <c r="E56" s="9">
        <v>-182107.46</v>
      </c>
    </row>
    <row r="57" spans="1:5" x14ac:dyDescent="0.25">
      <c r="A57" s="13"/>
      <c r="B57" t="s">
        <v>8</v>
      </c>
      <c r="C57" s="9">
        <v>36216.58</v>
      </c>
      <c r="D57" s="9">
        <v>250123.61</v>
      </c>
      <c r="E57" s="9">
        <v>-205724.92</v>
      </c>
    </row>
    <row r="58" spans="1:5" x14ac:dyDescent="0.25">
      <c r="A58" s="13"/>
      <c r="B58" t="s">
        <v>9</v>
      </c>
      <c r="C58" s="9">
        <v>35464.230000000003</v>
      </c>
      <c r="D58" s="9">
        <v>245026.07</v>
      </c>
      <c r="E58" s="9">
        <v>-201502.9</v>
      </c>
    </row>
    <row r="59" spans="1:5" x14ac:dyDescent="0.25">
      <c r="A59" s="13"/>
      <c r="B59" t="s">
        <v>10</v>
      </c>
      <c r="C59" s="9">
        <v>32053.96</v>
      </c>
      <c r="D59" s="9">
        <v>214905.02</v>
      </c>
      <c r="E59" s="9">
        <v>-179206.07</v>
      </c>
    </row>
    <row r="60" spans="1:5" x14ac:dyDescent="0.25">
      <c r="A60" s="13"/>
      <c r="B60" t="s">
        <v>11</v>
      </c>
      <c r="C60" s="9">
        <v>38564.14</v>
      </c>
      <c r="D60" s="9">
        <v>252284.61</v>
      </c>
      <c r="E60" s="9">
        <v>-203356.36</v>
      </c>
    </row>
    <row r="61" spans="1:5" x14ac:dyDescent="0.25">
      <c r="A61" s="13"/>
      <c r="B61" t="s">
        <v>12</v>
      </c>
      <c r="C61" s="9">
        <v>38291.660000000003</v>
      </c>
      <c r="D61" s="9">
        <v>251421.78</v>
      </c>
      <c r="E61" s="9">
        <v>-211819.51999999999</v>
      </c>
    </row>
    <row r="62" spans="1:5" x14ac:dyDescent="0.25">
      <c r="A62" s="13"/>
      <c r="B62" t="s">
        <v>13</v>
      </c>
      <c r="C62" s="9">
        <v>33464.35</v>
      </c>
      <c r="D62" s="9">
        <v>224690.56</v>
      </c>
      <c r="E62" s="9">
        <v>-174557.46</v>
      </c>
    </row>
    <row r="63" spans="1:5" x14ac:dyDescent="0.25">
      <c r="A63" s="13"/>
      <c r="B63" t="s">
        <v>14</v>
      </c>
      <c r="C63" s="9">
        <v>38698.71</v>
      </c>
      <c r="D63" s="9">
        <v>259478.67</v>
      </c>
      <c r="E63" s="9">
        <v>-224510.55</v>
      </c>
    </row>
    <row r="64" spans="1:5" x14ac:dyDescent="0.25">
      <c r="A64" s="13"/>
      <c r="B64" t="s">
        <v>15</v>
      </c>
      <c r="C64" s="9">
        <v>34638.910000000003</v>
      </c>
      <c r="D64" s="9">
        <v>230660.52</v>
      </c>
      <c r="E64" s="9">
        <v>-202205.48</v>
      </c>
    </row>
    <row r="65" spans="1:5" x14ac:dyDescent="0.25">
      <c r="A65" s="13"/>
      <c r="B65" t="s">
        <v>16</v>
      </c>
      <c r="C65" s="9">
        <v>39553.51</v>
      </c>
      <c r="D65" s="9">
        <v>260940.75</v>
      </c>
      <c r="E65" s="9">
        <v>-228944.43</v>
      </c>
    </row>
    <row r="66" spans="1:5" x14ac:dyDescent="0.25">
      <c r="A66" s="12" t="s">
        <v>17</v>
      </c>
      <c r="B66" s="12"/>
      <c r="C66" s="11">
        <f>SUM(C54:C65)</f>
        <v>416470.01</v>
      </c>
      <c r="D66" s="11">
        <f t="shared" ref="D66:E66" si="4">SUM(D54:D65)</f>
        <v>2823800.99</v>
      </c>
      <c r="E66" s="11">
        <f t="shared" si="4"/>
        <v>-2352410.4800000004</v>
      </c>
    </row>
    <row r="67" spans="1:5" x14ac:dyDescent="0.25">
      <c r="A67" s="13">
        <v>2023</v>
      </c>
      <c r="B67" t="s">
        <v>5</v>
      </c>
      <c r="C67" s="9">
        <v>801.73</v>
      </c>
      <c r="D67" s="9">
        <v>192243.92</v>
      </c>
      <c r="E67" s="9">
        <v>-154680.16</v>
      </c>
    </row>
    <row r="68" spans="1:5" x14ac:dyDescent="0.25">
      <c r="A68" s="13"/>
      <c r="B68" t="s">
        <v>6</v>
      </c>
      <c r="C68" s="9">
        <v>885.39</v>
      </c>
      <c r="D68" s="9">
        <v>212367.34</v>
      </c>
      <c r="E68" s="9">
        <v>-170001.53</v>
      </c>
    </row>
    <row r="69" spans="1:5" x14ac:dyDescent="0.25">
      <c r="A69" s="13"/>
      <c r="B69" t="s">
        <v>7</v>
      </c>
      <c r="C69" s="9">
        <v>1225.5999999999999</v>
      </c>
      <c r="D69" s="9">
        <v>250353.17</v>
      </c>
      <c r="E69" s="9">
        <v>-210764.31</v>
      </c>
    </row>
    <row r="70" spans="1:5" x14ac:dyDescent="0.25">
      <c r="A70" s="13"/>
      <c r="B70" t="s">
        <v>8</v>
      </c>
      <c r="C70" s="9">
        <v>1265.6600000000001</v>
      </c>
      <c r="D70" s="9">
        <v>292567.32</v>
      </c>
      <c r="E70" s="9">
        <v>-246312.84</v>
      </c>
    </row>
    <row r="71" spans="1:5" x14ac:dyDescent="0.25">
      <c r="A71" s="13"/>
      <c r="B71" t="s">
        <v>9</v>
      </c>
      <c r="C71" s="9">
        <v>1226.18</v>
      </c>
      <c r="D71" s="9">
        <v>289289.42</v>
      </c>
      <c r="E71" s="9">
        <v>-241972.65</v>
      </c>
    </row>
    <row r="72" spans="1:5" x14ac:dyDescent="0.25">
      <c r="A72" s="13"/>
      <c r="B72" t="s">
        <v>10</v>
      </c>
      <c r="C72" s="9">
        <v>1037.53</v>
      </c>
      <c r="D72" s="9">
        <v>247602.78</v>
      </c>
      <c r="E72" s="9">
        <v>-200171.35</v>
      </c>
    </row>
    <row r="73" spans="1:5" x14ac:dyDescent="0.25">
      <c r="A73" s="13"/>
      <c r="B73" t="s">
        <v>11</v>
      </c>
      <c r="C73" s="9">
        <v>1187.6199999999999</v>
      </c>
      <c r="D73" s="9">
        <v>281883.19</v>
      </c>
      <c r="E73" s="9">
        <v>-239179.68</v>
      </c>
    </row>
    <row r="74" spans="1:5" x14ac:dyDescent="0.25">
      <c r="A74" s="13"/>
      <c r="B74" t="s">
        <v>12</v>
      </c>
      <c r="C74" s="9">
        <v>1236.57</v>
      </c>
      <c r="D74" s="9">
        <v>292378.2</v>
      </c>
      <c r="E74" s="9">
        <v>-240631.36</v>
      </c>
    </row>
    <row r="75" spans="1:5" x14ac:dyDescent="0.25">
      <c r="A75" s="13"/>
      <c r="B75" t="s">
        <v>13</v>
      </c>
      <c r="C75" s="9">
        <v>1080.78</v>
      </c>
      <c r="D75" s="9">
        <v>258807.56</v>
      </c>
      <c r="E75" s="9">
        <v>-214541.65</v>
      </c>
    </row>
    <row r="76" spans="1:5" x14ac:dyDescent="0.25">
      <c r="A76" s="13"/>
      <c r="B76" t="s">
        <v>14</v>
      </c>
      <c r="C76" s="9">
        <v>1183.8</v>
      </c>
      <c r="D76" s="9">
        <v>282985.64</v>
      </c>
      <c r="E76" s="9">
        <v>-228441.21</v>
      </c>
    </row>
    <row r="77" spans="1:5" x14ac:dyDescent="0.25">
      <c r="A77" s="13"/>
      <c r="B77" t="s">
        <v>15</v>
      </c>
      <c r="C77" s="9">
        <v>1097.5899999999999</v>
      </c>
      <c r="D77" s="9">
        <v>269728.92</v>
      </c>
      <c r="E77" s="9">
        <v>-211802.27</v>
      </c>
    </row>
    <row r="78" spans="1:5" x14ac:dyDescent="0.25">
      <c r="A78" s="13"/>
      <c r="B78" t="s">
        <v>16</v>
      </c>
      <c r="C78" s="9">
        <v>1200.3399999999999</v>
      </c>
      <c r="D78" s="9">
        <v>281851.13</v>
      </c>
      <c r="E78" s="9">
        <v>-231619.98</v>
      </c>
    </row>
    <row r="79" spans="1:5" x14ac:dyDescent="0.25">
      <c r="A79" s="12" t="s">
        <v>17</v>
      </c>
      <c r="B79" s="12"/>
      <c r="C79" s="11">
        <f>SUM(C67:C78)</f>
        <v>13428.79</v>
      </c>
      <c r="D79" s="11">
        <f t="shared" ref="D79:E79" si="5">SUM(D67:D78)</f>
        <v>3152058.59</v>
      </c>
      <c r="E79" s="11">
        <f t="shared" si="5"/>
        <v>-2590118.9899999998</v>
      </c>
    </row>
    <row r="80" spans="1:5" x14ac:dyDescent="0.25">
      <c r="A80" s="13">
        <v>2024</v>
      </c>
      <c r="B80" t="s">
        <v>5</v>
      </c>
      <c r="C80" s="9">
        <v>44033.61</v>
      </c>
      <c r="D80" s="9">
        <v>202376.56</v>
      </c>
      <c r="E80" s="9">
        <v>-160853.32999999999</v>
      </c>
    </row>
    <row r="81" spans="1:5" x14ac:dyDescent="0.25">
      <c r="A81" s="13"/>
      <c r="B81" t="s">
        <v>6</v>
      </c>
      <c r="C81" s="9">
        <v>42544.12</v>
      </c>
      <c r="D81" s="9">
        <v>213747.28</v>
      </c>
      <c r="E81" s="9">
        <v>-157405.54999999999</v>
      </c>
    </row>
    <row r="82" spans="1:5" x14ac:dyDescent="0.25">
      <c r="A82" s="13"/>
      <c r="B82" t="s">
        <v>7</v>
      </c>
      <c r="C82" s="9">
        <v>49183.48</v>
      </c>
      <c r="D82" s="9">
        <v>215507.86</v>
      </c>
      <c r="E82" s="9">
        <v>-171171.36</v>
      </c>
    </row>
    <row r="83" spans="1:5" x14ac:dyDescent="0.25">
      <c r="A83" s="13"/>
      <c r="B83" t="s">
        <v>8</v>
      </c>
      <c r="C83" s="9">
        <v>52120.17</v>
      </c>
      <c r="D83" s="9">
        <v>230196.37</v>
      </c>
      <c r="E83" s="9">
        <v>-182130.18</v>
      </c>
    </row>
    <row r="84" spans="1:5" x14ac:dyDescent="0.25">
      <c r="A84" s="13"/>
      <c r="B84" t="s">
        <v>9</v>
      </c>
      <c r="C84" s="9">
        <v>53590.19</v>
      </c>
      <c r="D84" s="9">
        <v>235144.06</v>
      </c>
      <c r="E84" s="9">
        <v>-179197.73</v>
      </c>
    </row>
    <row r="85" spans="1:5" x14ac:dyDescent="0.25">
      <c r="A85" s="13"/>
      <c r="B85" t="s">
        <v>10</v>
      </c>
      <c r="C85" s="9">
        <v>47214.559999999998</v>
      </c>
      <c r="D85" s="9">
        <v>206756.63</v>
      </c>
      <c r="E85" s="9">
        <v>-163878.34</v>
      </c>
    </row>
    <row r="86" spans="1:5" x14ac:dyDescent="0.25">
      <c r="A86" s="13"/>
      <c r="B86" t="s">
        <v>11</v>
      </c>
      <c r="C86" s="9">
        <v>49047.98</v>
      </c>
      <c r="D86" s="9">
        <v>223833.4</v>
      </c>
      <c r="E86" s="9">
        <v>-177909.19</v>
      </c>
    </row>
    <row r="87" spans="1:5" x14ac:dyDescent="0.25">
      <c r="A87" s="13"/>
      <c r="B87" t="s">
        <v>12</v>
      </c>
      <c r="C87" s="9">
        <v>49293.85</v>
      </c>
      <c r="D87" s="9">
        <v>219399.14</v>
      </c>
      <c r="E87" s="9">
        <v>-182576.55</v>
      </c>
    </row>
    <row r="88" spans="1:5" x14ac:dyDescent="0.25">
      <c r="A88" s="13"/>
      <c r="B88" t="s">
        <v>13</v>
      </c>
      <c r="C88" s="9">
        <v>42055.77</v>
      </c>
      <c r="D88" s="9">
        <v>176523.2</v>
      </c>
      <c r="E88" s="9">
        <v>-161398.5</v>
      </c>
    </row>
    <row r="89" spans="1:5" x14ac:dyDescent="0.25">
      <c r="A89" s="13"/>
      <c r="B89" t="s">
        <v>14</v>
      </c>
      <c r="C89" s="9">
        <v>47442.34</v>
      </c>
      <c r="D89" s="9">
        <v>202098.25</v>
      </c>
      <c r="E89" s="9">
        <v>-186577.63</v>
      </c>
    </row>
    <row r="90" spans="1:5" x14ac:dyDescent="0.25">
      <c r="A90" s="13"/>
      <c r="B90" t="s">
        <v>15</v>
      </c>
      <c r="C90" s="9">
        <v>44371.447999999997</v>
      </c>
      <c r="D90" s="9">
        <v>206633.82</v>
      </c>
      <c r="E90" s="9">
        <v>-177883.58</v>
      </c>
    </row>
    <row r="91" spans="1:5" x14ac:dyDescent="0.25">
      <c r="A91" s="13"/>
      <c r="B91" t="s">
        <v>16</v>
      </c>
      <c r="C91" s="9">
        <v>51302.21</v>
      </c>
      <c r="D91" s="9">
        <v>217515.46</v>
      </c>
      <c r="E91" s="9">
        <v>-195274.86</v>
      </c>
    </row>
    <row r="92" spans="1:5" x14ac:dyDescent="0.25">
      <c r="A92" s="12" t="s">
        <v>17</v>
      </c>
      <c r="B92" s="12"/>
      <c r="C92" s="11">
        <f>SUM(C80:C91)</f>
        <v>572199.72799999989</v>
      </c>
      <c r="D92" s="11">
        <f t="shared" ref="D92:E92" si="6">SUM(D80:D91)</f>
        <v>2549732.0299999998</v>
      </c>
      <c r="E92" s="11">
        <f t="shared" si="6"/>
        <v>-2096256.7999999998</v>
      </c>
    </row>
  </sheetData>
  <mergeCells count="14">
    <mergeCell ref="A80:A91"/>
    <mergeCell ref="A92:B92"/>
    <mergeCell ref="A41:A52"/>
    <mergeCell ref="A53:B53"/>
    <mergeCell ref="A54:A65"/>
    <mergeCell ref="A66:B66"/>
    <mergeCell ref="A67:A78"/>
    <mergeCell ref="A79:B79"/>
    <mergeCell ref="A40:B40"/>
    <mergeCell ref="A2:A13"/>
    <mergeCell ref="A14:B14"/>
    <mergeCell ref="A15:A26"/>
    <mergeCell ref="A27:B27"/>
    <mergeCell ref="A28:A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</vt:lpstr>
      <vt:lpstr>bulanan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habwa nabila</dc:creator>
  <cp:lastModifiedBy>habwa nabila</cp:lastModifiedBy>
  <dcterms:created xsi:type="dcterms:W3CDTF">2026-03-19T08:04:45Z</dcterms:created>
  <dcterms:modified xsi:type="dcterms:W3CDTF">2026-04-04T11:42:05Z</dcterms:modified>
</cp:coreProperties>
</file>